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ki\Desktop\sapi 2\II. felev\OPkut\"/>
    </mc:Choice>
  </mc:AlternateContent>
  <xr:revisionPtr revIDLastSave="0" documentId="13_ncr:1_{D9DF0544-4410-49D1-A3F0-C91DDA40AFEE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feladat" sheetId="3" r:id="rId2"/>
    <sheet name="Elokeszito" sheetId="2" r:id="rId3"/>
  </sheets>
  <definedNames>
    <definedName name="solver_adj" localSheetId="1" hidden="1">feladat!$C$11:$H$14</definedName>
    <definedName name="solver_adj" localSheetId="0" hidden="1">Sheet1!$H$18:$M$21</definedName>
    <definedName name="solver_cvg" localSheetId="1" hidden="1">0.0001</definedName>
    <definedName name="solver_cvg" localSheetId="0" hidden="1">"""""""""""""""""""""""""""""""""""""""""""""""""""""""""""""""""""""""""""""""""""""""""""""""""""""""""""""""""""""""""""""""0.0001"""""""""""""""""""""""""""""""""""""""""""""""""""""""""""""""""""""""""""""""""""""""""""""""""""""""""""""""""""""""""""""""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feladat!$I$11:$I$14</definedName>
    <definedName name="solver_lhs1" localSheetId="0" hidden="1">Sheet1!$H$18:$M$21</definedName>
    <definedName name="solver_lhs2" localSheetId="1" hidden="1">feladat!$C$15:$H$15</definedName>
    <definedName name="solver_lhs2" localSheetId="0" hidden="1">Sheet1!$H$22:$M$22</definedName>
    <definedName name="solver_lhs3" localSheetId="1" hidden="1">feladat!$C$11:$H$14</definedName>
    <definedName name="solver_lhs3" localSheetId="0" hidden="1">Sheet1!$N$18:$N$21</definedName>
    <definedName name="solver_lhs4" localSheetId="1" hidden="1">feladat!$C$15:$F$15</definedName>
    <definedName name="solver_lhs4" localSheetId="0" hidden="1">Sheet1!$N$18:$N$21</definedName>
    <definedName name="solver_lhs5" localSheetId="1" hidden="1">feladat!$I$11:$I$14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"""""""""""""""""""""""""""""""""""""""""""""""""""""""""""""""""""""""""""""""""""""""""""""""""""""""""""""""""""""""""""""""0.075"""""""""""""""""""""""""""""""""""""""""""""""""""""""""""""""""""""""""""""""""""""""""""""""""""""""""""""""""""""""""""""""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feladat!$J$16</definedName>
    <definedName name="solver_opt" localSheetId="0" hidden="1">Sheet1!$O$22</definedName>
    <definedName name="solver_pre" localSheetId="1" hidden="1">0.000001</definedName>
    <definedName name="solver_pre" localSheetId="0" hidden="1">"""""""""""""""""""""""""""""""""""""""""""""""""""""""""""""""""""""""""""""""""""""""""""""""""""""""""""""""""""""""""""""""0.000001"""""""""""""""""""""""""""""""""""""""""""""""""""""""""""""""""""""""""""""""""""""""""""""""""""""""""""""""""""""""""""""""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5</definedName>
    <definedName name="solver_rel2" localSheetId="1" hidden="1">1</definedName>
    <definedName name="solver_rel2" localSheetId="0" hidden="1">1</definedName>
    <definedName name="solver_rel3" localSheetId="1" hidden="1">4</definedName>
    <definedName name="solver_rel3" localSheetId="0" hidden="1">2</definedName>
    <definedName name="solver_rel4" localSheetId="1" hidden="1">2</definedName>
    <definedName name="solver_rel4" localSheetId="0" hidden="1">1</definedName>
    <definedName name="solver_rel5" localSheetId="1" hidden="1">2</definedName>
    <definedName name="solver_rhs1" localSheetId="1" hidden="1">1</definedName>
    <definedName name="solver_rhs1" localSheetId="0" hidden="1">binary</definedName>
    <definedName name="solver_rhs2" localSheetId="1" hidden="1">1</definedName>
    <definedName name="solver_rhs2" localSheetId="0" hidden="1">1</definedName>
    <definedName name="solver_rhs3" localSheetId="1" hidden="1">"integer"</definedName>
    <definedName name="solver_rhs3" localSheetId="0" hidden="1">1</definedName>
    <definedName name="solver_rhs4" localSheetId="1" hidden="1">feladat!$C$17:$F$17</definedName>
    <definedName name="solver_rhs4" localSheetId="0" hidden="1">Sheet1!$P$18:$P$21</definedName>
    <definedName name="solver_rhs5" localSheetId="1" hidden="1">feladat!$K$11:$K$14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3" l="1"/>
  <c r="J6" i="3"/>
  <c r="J5" i="3"/>
  <c r="J4" i="3"/>
  <c r="J3" i="3"/>
  <c r="I7" i="3"/>
  <c r="I6" i="3"/>
  <c r="I5" i="3"/>
  <c r="I4" i="3"/>
  <c r="I3" i="3"/>
  <c r="J16" i="3"/>
  <c r="I14" i="3"/>
  <c r="I13" i="3"/>
  <c r="I12" i="3"/>
  <c r="I11" i="3"/>
  <c r="H15" i="3"/>
  <c r="G15" i="3"/>
  <c r="F15" i="3"/>
  <c r="E15" i="3"/>
  <c r="D15" i="3"/>
  <c r="C15" i="3"/>
  <c r="O22" i="1"/>
  <c r="O10" i="1" l="1"/>
  <c r="O11" i="1"/>
  <c r="O12" i="1"/>
  <c r="O9" i="1"/>
  <c r="O13" i="1" s="1"/>
  <c r="N12" i="1"/>
  <c r="N10" i="1"/>
  <c r="N11" i="1"/>
  <c r="N9" i="1"/>
  <c r="M13" i="1" s="1"/>
  <c r="N18" i="1"/>
  <c r="N19" i="1"/>
  <c r="L22" i="1"/>
  <c r="I22" i="1"/>
  <c r="J22" i="1"/>
  <c r="K22" i="1"/>
  <c r="M22" i="1"/>
  <c r="H22" i="1"/>
  <c r="I26" i="1"/>
  <c r="J26" i="1"/>
  <c r="K26" i="1"/>
  <c r="L26" i="1"/>
  <c r="M26" i="1"/>
  <c r="H26" i="1"/>
  <c r="N20" i="1"/>
  <c r="N21" i="1"/>
  <c r="N13" i="1" l="1"/>
  <c r="G31" i="1" s="1"/>
</calcChain>
</file>

<file path=xl/sharedStrings.xml><?xml version="1.0" encoding="utf-8"?>
<sst xmlns="http://schemas.openxmlformats.org/spreadsheetml/2006/main" count="102" uniqueCount="50">
  <si>
    <t>Hallgató</t>
  </si>
  <si>
    <t>Tétel</t>
  </si>
  <si>
    <t>I.</t>
  </si>
  <si>
    <t>II.</t>
  </si>
  <si>
    <t>III.</t>
  </si>
  <si>
    <t>IV.</t>
  </si>
  <si>
    <t>V.</t>
  </si>
  <si>
    <t>VI.</t>
  </si>
  <si>
    <t>A</t>
  </si>
  <si>
    <t>B</t>
  </si>
  <si>
    <t>C</t>
  </si>
  <si>
    <t>D</t>
  </si>
  <si>
    <t>celfuggveny</t>
  </si>
  <si>
    <t>tetelekre</t>
  </si>
  <si>
    <t>hallgatokra</t>
  </si>
  <si>
    <t>&lt;=</t>
  </si>
  <si>
    <t>=</t>
  </si>
  <si>
    <t>hozzarendelesi</t>
  </si>
  <si>
    <t>n = hallgatok szama</t>
  </si>
  <si>
    <t>m = tetelek szama</t>
  </si>
  <si>
    <t>n &lt;= m</t>
  </si>
  <si>
    <t>ha</t>
  </si>
  <si>
    <t>n &gt; m</t>
  </si>
  <si>
    <t>legrosszabb huzas 7.25 es D hallgato 4-est kap</t>
  </si>
  <si>
    <t xml:space="preserve">legjobb huzas 8.5 </t>
  </si>
  <si>
    <t>legjobb (max) atlag eseten mindenki azt huzta-e, amibol a legjobban felkeszult?</t>
  </si>
  <si>
    <t>N</t>
  </si>
  <si>
    <t>M</t>
  </si>
  <si>
    <t xml:space="preserve">egy tetelt hany diak huz ki </t>
  </si>
  <si>
    <t>abcd1234</t>
  </si>
  <si>
    <t>Hallgató 1</t>
  </si>
  <si>
    <t>Hallgató 2</t>
  </si>
  <si>
    <t>Hallgató 3</t>
  </si>
  <si>
    <t>Tétel 1</t>
  </si>
  <si>
    <t>Tétel 2</t>
  </si>
  <si>
    <t>Tétel 3</t>
  </si>
  <si>
    <t>Tétel 4</t>
  </si>
  <si>
    <t>SorMAX</t>
  </si>
  <si>
    <t>SorMIN</t>
  </si>
  <si>
    <t>Legjobb Atlag</t>
  </si>
  <si>
    <t>Legrosszabb Atlag</t>
  </si>
  <si>
    <t>3,3</t>
  </si>
  <si>
    <t>Hallgató 4</t>
  </si>
  <si>
    <t>u</t>
  </si>
  <si>
    <t>r</t>
  </si>
  <si>
    <t>Osszesen</t>
  </si>
  <si>
    <t>6,8</t>
  </si>
  <si>
    <t>Tétel 5</t>
  </si>
  <si>
    <t>Tétel 6</t>
  </si>
  <si>
    <t xml:space="preserve"> &lt;=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</si>
</sst>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5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6" xfId="0" applyFont="1" applyBorder="1" applyAlignment="1">
      <alignment horizontal="justify" vertical="center" wrapText="1"/>
    </xf>
    <xf numFmtId="0" fontId="2" fillId="0" borderId="3" xfId="0" applyFont="1" applyBorder="1" applyAlignment="1">
      <alignment horizontal="justify" vertical="center" wrapText="1"/>
    </xf>
    <xf numFmtId="0" fontId="2" fillId="2" borderId="6" xfId="0" applyFont="1" applyFill="1" applyBorder="1" applyAlignment="1">
      <alignment horizontal="justify" vertical="center" wrapText="1"/>
    </xf>
    <xf numFmtId="0" fontId="2" fillId="2" borderId="3" xfId="0" applyFont="1" applyFill="1" applyBorder="1" applyAlignment="1">
      <alignment horizontal="justify" vertical="center" wrapText="1"/>
    </xf>
    <xf numFmtId="0" fontId="3" fillId="2" borderId="6" xfId="0" applyFont="1" applyFill="1" applyBorder="1" applyAlignment="1">
      <alignment horizontal="justify" vertical="center" wrapText="1"/>
    </xf>
    <xf numFmtId="0" fontId="3" fillId="3" borderId="6" xfId="0" applyFont="1" applyFill="1" applyBorder="1" applyAlignment="1">
      <alignment horizontal="justify" vertical="center" wrapText="1"/>
    </xf>
    <xf numFmtId="0" fontId="0" fillId="5" borderId="0" xfId="0" applyFill="1"/>
    <xf numFmtId="0" fontId="0" fillId="7" borderId="0" xfId="0" applyFill="1"/>
    <xf numFmtId="0" fontId="0" fillId="0" borderId="7" xfId="0" applyBorder="1"/>
    <xf numFmtId="0" fontId="0" fillId="4" borderId="1" xfId="0" applyFill="1" applyBorder="1"/>
    <xf numFmtId="0" fontId="2" fillId="0" borderId="8" xfId="0" applyFont="1" applyBorder="1" applyAlignment="1">
      <alignment horizontal="justify" vertical="center" wrapText="1"/>
    </xf>
    <xf numFmtId="0" fontId="3" fillId="4" borderId="0" xfId="0" applyFont="1" applyFill="1" applyAlignment="1">
      <alignment horizontal="justify" vertical="center" wrapText="1"/>
    </xf>
    <xf numFmtId="0" fontId="2" fillId="0" borderId="0" xfId="0" applyFont="1" applyAlignment="1">
      <alignment horizontal="justify" vertical="center" wrapText="1"/>
    </xf>
    <xf numFmtId="0" fontId="2" fillId="0" borderId="1" xfId="0" applyFont="1" applyBorder="1" applyAlignment="1">
      <alignment horizontal="justify" vertical="center" wrapText="1"/>
    </xf>
    <xf numFmtId="0" fontId="3" fillId="0" borderId="0" xfId="0" applyFont="1" applyAlignment="1">
      <alignment horizontal="justify" vertical="center" wrapText="1"/>
    </xf>
    <xf numFmtId="0" fontId="4" fillId="6" borderId="9" xfId="0" applyFont="1" applyFill="1" applyBorder="1"/>
    <xf numFmtId="0" fontId="4" fillId="6" borderId="10" xfId="0" applyFont="1" applyFill="1" applyBorder="1"/>
    <xf numFmtId="0" fontId="4" fillId="6" borderId="2" xfId="0" applyFont="1" applyFill="1" applyBorder="1"/>
    <xf numFmtId="0" fontId="4" fillId="6" borderId="3" xfId="0" applyFont="1" applyFill="1" applyBorder="1"/>
    <xf numFmtId="0" fontId="1" fillId="0" borderId="0" xfId="0" applyFont="1"/>
    <xf numFmtId="0" fontId="3" fillId="5" borderId="0" xfId="0" applyFont="1" applyFill="1" applyAlignment="1">
      <alignment horizontal="justify" vertical="center" wrapText="1"/>
    </xf>
    <xf numFmtId="0" fontId="0" fillId="8" borderId="0" xfId="0" applyFill="1"/>
    <xf numFmtId="0" fontId="0" fillId="0" borderId="0" xfId="0" quotePrefix="1" applyAlignment="1">
      <alignment horizontal="center"/>
    </xf>
    <xf numFmtId="0" fontId="0" fillId="8" borderId="1" xfId="0" applyFill="1" applyBorder="1"/>
    <xf numFmtId="0" fontId="6" fillId="9" borderId="0" xfId="0" applyFont="1" applyFill="1"/>
    <xf numFmtId="0" fontId="5" fillId="9" borderId="0" xfId="0" applyFont="1" applyFill="1" applyAlignment="1">
      <alignment horizontal="center" vertical="center"/>
    </xf>
    <xf numFmtId="0" fontId="7" fillId="0" borderId="0" xfId="0" applyFont="1"/>
    <xf numFmtId="0" fontId="0" fillId="11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10" borderId="11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0" fillId="10" borderId="13" xfId="0" applyFill="1" applyBorder="1" applyProtection="1">
      <protection locked="0"/>
    </xf>
    <xf numFmtId="0" fontId="0" fillId="10" borderId="14" xfId="0" applyFill="1" applyBorder="1" applyProtection="1">
      <protection locked="0"/>
    </xf>
    <xf numFmtId="0" fontId="0" fillId="10" borderId="15" xfId="0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0" fillId="10" borderId="17" xfId="0" applyFill="1" applyBorder="1" applyProtection="1">
      <protection locked="0"/>
    </xf>
    <xf numFmtId="0" fontId="0" fillId="10" borderId="18" xfId="0" applyFill="1" applyBorder="1" applyProtection="1">
      <protection locked="0"/>
    </xf>
    <xf numFmtId="0" fontId="0" fillId="12" borderId="0" xfId="0" applyFill="1"/>
    <xf numFmtId="0" fontId="7" fillId="13" borderId="0" xfId="0" applyFont="1" applyFill="1"/>
    <xf numFmtId="0" fontId="0" fillId="14" borderId="0" xfId="0" applyFill="1"/>
    <xf numFmtId="0" fontId="2" fillId="2" borderId="7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7" fillId="0" borderId="0" xfId="0" applyFont="1" applyFill="1"/>
    <xf numFmtId="0" fontId="0" fillId="10" borderId="0" xfId="0" applyFill="1" applyBorder="1" applyProtection="1">
      <protection locked="0"/>
    </xf>
    <xf numFmtId="0" fontId="0" fillId="0" borderId="0" xfId="0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152400</xdr:rowOff>
        </xdr:from>
        <xdr:to>
          <xdr:col>0</xdr:col>
          <xdr:colOff>742950</xdr:colOff>
          <xdr:row>10</xdr:row>
          <xdr:rowOff>47625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</xdr:row>
          <xdr:rowOff>57150</xdr:rowOff>
        </xdr:from>
        <xdr:to>
          <xdr:col>12</xdr:col>
          <xdr:colOff>523875</xdr:colOff>
          <xdr:row>2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Legjobb húzás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0</xdr:row>
          <xdr:rowOff>95250</xdr:rowOff>
        </xdr:from>
        <xdr:to>
          <xdr:col>12</xdr:col>
          <xdr:colOff>523875</xdr:colOff>
          <xdr:row>0</xdr:row>
          <xdr:rowOff>352425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Legrosszabb huzas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Kezdes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31"/>
  <sheetViews>
    <sheetView topLeftCell="E1" zoomScale="85" zoomScaleNormal="85" workbookViewId="0">
      <selection activeCell="K31" sqref="K31"/>
    </sheetView>
  </sheetViews>
  <sheetFormatPr defaultRowHeight="15" x14ac:dyDescent="0.25"/>
  <cols>
    <col min="5" max="5" width="6.85546875" customWidth="1"/>
    <col min="6" max="6" width="25.5703125" customWidth="1"/>
    <col min="7" max="7" width="34.140625" customWidth="1"/>
    <col min="14" max="14" width="15.42578125" customWidth="1"/>
    <col min="15" max="15" width="9.7109375" customWidth="1"/>
    <col min="17" max="17" width="17.5703125" bestFit="1" customWidth="1"/>
  </cols>
  <sheetData>
    <row r="1" spans="1:24" ht="15.75" thickBot="1" x14ac:dyDescent="0.3"/>
    <row r="2" spans="1:24" ht="18.75" x14ac:dyDescent="0.3">
      <c r="A2" t="s">
        <v>29</v>
      </c>
      <c r="G2" s="16" t="s">
        <v>18</v>
      </c>
      <c r="H2" s="18">
        <v>4</v>
      </c>
    </row>
    <row r="3" spans="1:24" ht="19.5" thickBot="1" x14ac:dyDescent="0.35">
      <c r="G3" s="17" t="s">
        <v>19</v>
      </c>
      <c r="H3" s="19">
        <v>3</v>
      </c>
    </row>
    <row r="6" spans="1:24" ht="15.75" thickBot="1" x14ac:dyDescent="0.3"/>
    <row r="7" spans="1:24" ht="19.5" thickBot="1" x14ac:dyDescent="0.3">
      <c r="G7" s="51" t="s">
        <v>0</v>
      </c>
      <c r="H7" s="48" t="s">
        <v>1</v>
      </c>
      <c r="I7" s="49"/>
      <c r="J7" s="49"/>
      <c r="K7" s="49"/>
      <c r="L7" s="49"/>
      <c r="M7" s="50"/>
    </row>
    <row r="8" spans="1:24" ht="19.5" thickBot="1" x14ac:dyDescent="0.3">
      <c r="G8" s="52"/>
      <c r="H8" s="3" t="s">
        <v>2</v>
      </c>
      <c r="I8" s="3" t="s">
        <v>3</v>
      </c>
      <c r="J8" s="3" t="s">
        <v>4</v>
      </c>
      <c r="K8" s="3" t="s">
        <v>5</v>
      </c>
      <c r="L8" s="3" t="s">
        <v>6</v>
      </c>
      <c r="M8" s="3" t="s">
        <v>7</v>
      </c>
      <c r="R8" s="51" t="s">
        <v>0</v>
      </c>
      <c r="S8" s="48" t="s">
        <v>1</v>
      </c>
      <c r="T8" s="49"/>
      <c r="U8" s="49"/>
      <c r="V8" s="49"/>
      <c r="W8" s="49"/>
      <c r="X8" s="50"/>
    </row>
    <row r="9" spans="1:24" ht="19.5" thickBot="1" x14ac:dyDescent="0.3">
      <c r="G9" s="4" t="s">
        <v>8</v>
      </c>
      <c r="H9" s="5">
        <v>9</v>
      </c>
      <c r="I9" s="5">
        <v>6</v>
      </c>
      <c r="J9" s="5">
        <v>9</v>
      </c>
      <c r="K9" s="5">
        <v>5</v>
      </c>
      <c r="L9" s="5">
        <v>7</v>
      </c>
      <c r="M9" s="5">
        <v>9</v>
      </c>
      <c r="N9">
        <f>MAX(H9:M9)</f>
        <v>9</v>
      </c>
      <c r="O9">
        <f>MIN(H9:M9)</f>
        <v>5</v>
      </c>
      <c r="R9" s="52"/>
      <c r="S9" s="3" t="s">
        <v>2</v>
      </c>
      <c r="T9" s="3" t="s">
        <v>3</v>
      </c>
      <c r="U9" s="3" t="s">
        <v>4</v>
      </c>
      <c r="V9" s="3" t="s">
        <v>5</v>
      </c>
      <c r="W9" s="3" t="s">
        <v>6</v>
      </c>
      <c r="X9" s="3" t="s">
        <v>7</v>
      </c>
    </row>
    <row r="10" spans="1:24" ht="19.5" thickBot="1" x14ac:dyDescent="0.3">
      <c r="G10" s="4" t="s">
        <v>9</v>
      </c>
      <c r="H10" s="5">
        <v>6</v>
      </c>
      <c r="I10" s="5">
        <v>7</v>
      </c>
      <c r="J10" s="5">
        <v>7</v>
      </c>
      <c r="K10" s="5">
        <v>4</v>
      </c>
      <c r="L10" s="5">
        <v>5</v>
      </c>
      <c r="M10" s="5">
        <v>4</v>
      </c>
      <c r="N10">
        <f t="shared" ref="N10:N11" si="0">MAX(H10:M10)</f>
        <v>7</v>
      </c>
      <c r="O10">
        <f t="shared" ref="O10:O12" si="1">MIN(H10:M10)</f>
        <v>4</v>
      </c>
      <c r="R10" s="4" t="s">
        <v>8</v>
      </c>
      <c r="S10" s="5">
        <v>9</v>
      </c>
      <c r="T10" s="5">
        <v>6</v>
      </c>
      <c r="U10" s="5">
        <v>9</v>
      </c>
      <c r="V10" s="5">
        <v>5</v>
      </c>
      <c r="W10" s="5">
        <v>7</v>
      </c>
      <c r="X10" s="5">
        <v>9</v>
      </c>
    </row>
    <row r="11" spans="1:24" ht="19.5" thickBot="1" x14ac:dyDescent="0.3">
      <c r="G11" s="4" t="s">
        <v>10</v>
      </c>
      <c r="H11" s="5">
        <v>9</v>
      </c>
      <c r="I11" s="5">
        <v>9</v>
      </c>
      <c r="J11" s="5">
        <v>5</v>
      </c>
      <c r="K11" s="5">
        <v>7</v>
      </c>
      <c r="L11" s="5">
        <v>5</v>
      </c>
      <c r="M11" s="5">
        <v>10</v>
      </c>
      <c r="N11">
        <f t="shared" si="0"/>
        <v>10</v>
      </c>
      <c r="O11">
        <f t="shared" si="1"/>
        <v>5</v>
      </c>
      <c r="R11" s="4" t="s">
        <v>9</v>
      </c>
      <c r="S11" s="5">
        <v>6</v>
      </c>
      <c r="T11" s="5">
        <v>7</v>
      </c>
      <c r="U11" s="5">
        <v>7</v>
      </c>
      <c r="V11" s="5">
        <v>4</v>
      </c>
      <c r="W11" s="5">
        <v>5</v>
      </c>
      <c r="X11" s="5">
        <v>4</v>
      </c>
    </row>
    <row r="12" spans="1:24" ht="19.5" thickBot="1" x14ac:dyDescent="0.3">
      <c r="G12" s="4" t="s">
        <v>11</v>
      </c>
      <c r="H12" s="5">
        <v>8</v>
      </c>
      <c r="I12" s="5">
        <v>5</v>
      </c>
      <c r="J12" s="5">
        <v>8</v>
      </c>
      <c r="K12" s="5">
        <v>7</v>
      </c>
      <c r="L12" s="5">
        <v>5</v>
      </c>
      <c r="M12" s="5">
        <v>4</v>
      </c>
      <c r="N12">
        <f>MAX(H12:M12)</f>
        <v>8</v>
      </c>
      <c r="O12">
        <f t="shared" si="1"/>
        <v>4</v>
      </c>
      <c r="R12" s="4" t="s">
        <v>10</v>
      </c>
      <c r="S12" s="5">
        <v>9</v>
      </c>
      <c r="T12" s="5">
        <v>9</v>
      </c>
      <c r="U12" s="5">
        <v>5</v>
      </c>
      <c r="V12" s="5">
        <v>7</v>
      </c>
      <c r="W12" s="5">
        <v>5</v>
      </c>
      <c r="X12" s="5">
        <v>10</v>
      </c>
    </row>
    <row r="13" spans="1:24" ht="19.5" thickBot="1" x14ac:dyDescent="0.3">
      <c r="M13">
        <f>AVERAGE(N9:N12)</f>
        <v>8.5</v>
      </c>
      <c r="N13" s="24">
        <f>SUM(N9:N12)/H2</f>
        <v>8.5</v>
      </c>
      <c r="O13" s="24">
        <f>SUM(O9:O12)/H2</f>
        <v>4.5</v>
      </c>
      <c r="R13" s="4" t="s">
        <v>11</v>
      </c>
      <c r="S13" s="5">
        <v>8</v>
      </c>
      <c r="T13" s="5">
        <v>5</v>
      </c>
      <c r="U13" s="5">
        <v>8</v>
      </c>
      <c r="V13" s="5">
        <v>7</v>
      </c>
      <c r="W13" s="5">
        <v>5</v>
      </c>
      <c r="X13" s="5">
        <v>4</v>
      </c>
    </row>
    <row r="15" spans="1:24" ht="15.75" thickBot="1" x14ac:dyDescent="0.3"/>
    <row r="16" spans="1:24" ht="19.5" thickBot="1" x14ac:dyDescent="0.3">
      <c r="G16" s="53" t="s">
        <v>0</v>
      </c>
      <c r="H16" s="55" t="s">
        <v>1</v>
      </c>
      <c r="I16" s="56"/>
      <c r="J16" s="56"/>
      <c r="K16" s="56"/>
      <c r="L16" s="56"/>
      <c r="M16" s="57"/>
    </row>
    <row r="17" spans="4:17" ht="19.5" thickBot="1" x14ac:dyDescent="0.3">
      <c r="G17" s="54"/>
      <c r="H17" s="1" t="s">
        <v>2</v>
      </c>
      <c r="I17" s="1" t="s">
        <v>3</v>
      </c>
      <c r="J17" s="1" t="s">
        <v>4</v>
      </c>
      <c r="K17" s="1" t="s">
        <v>5</v>
      </c>
      <c r="L17" s="1" t="s">
        <v>6</v>
      </c>
      <c r="M17" s="1" t="s">
        <v>7</v>
      </c>
      <c r="N17" s="11" t="s">
        <v>14</v>
      </c>
      <c r="Q17" s="13"/>
    </row>
    <row r="18" spans="4:17" ht="19.5" thickBot="1" x14ac:dyDescent="0.3">
      <c r="G18" s="2" t="s">
        <v>8</v>
      </c>
      <c r="H18" s="6">
        <v>0</v>
      </c>
      <c r="I18" s="6">
        <v>0</v>
      </c>
      <c r="J18" s="6">
        <v>1</v>
      </c>
      <c r="K18" s="6">
        <v>0</v>
      </c>
      <c r="L18" s="6">
        <v>0</v>
      </c>
      <c r="M18" s="6">
        <v>0</v>
      </c>
      <c r="N18" s="8">
        <f>SUM(H18:M18)</f>
        <v>1</v>
      </c>
      <c r="O18" s="23" t="s">
        <v>16</v>
      </c>
      <c r="P18" s="12">
        <v>1</v>
      </c>
    </row>
    <row r="19" spans="4:17" ht="19.5" thickBot="1" x14ac:dyDescent="0.3">
      <c r="G19" s="2" t="s">
        <v>9</v>
      </c>
      <c r="H19" s="6">
        <v>0</v>
      </c>
      <c r="I19" s="6">
        <v>1</v>
      </c>
      <c r="J19" s="6">
        <v>0</v>
      </c>
      <c r="K19" s="6">
        <v>0</v>
      </c>
      <c r="L19" s="6">
        <v>0</v>
      </c>
      <c r="M19" s="6">
        <v>0</v>
      </c>
      <c r="N19" s="8">
        <f>SUM(H19:M19)</f>
        <v>1</v>
      </c>
      <c r="O19" s="23" t="s">
        <v>16</v>
      </c>
      <c r="P19" s="12">
        <v>1</v>
      </c>
    </row>
    <row r="20" spans="4:17" ht="19.5" thickBot="1" x14ac:dyDescent="0.3">
      <c r="G20" s="2" t="s">
        <v>10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  <c r="N20" s="8">
        <f t="shared" ref="N20:N21" si="2">SUM(H20:M20)</f>
        <v>1</v>
      </c>
      <c r="O20" s="23" t="s">
        <v>16</v>
      </c>
      <c r="P20" s="12">
        <v>1</v>
      </c>
    </row>
    <row r="21" spans="4:17" ht="19.5" thickBot="1" x14ac:dyDescent="0.3">
      <c r="G21" s="2" t="s">
        <v>11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>
        <f t="shared" si="2"/>
        <v>1</v>
      </c>
      <c r="O21" s="23" t="s">
        <v>16</v>
      </c>
      <c r="P21" s="12">
        <v>1</v>
      </c>
    </row>
    <row r="22" spans="4:17" ht="19.5" thickBot="1" x14ac:dyDescent="0.3">
      <c r="G22" s="14" t="s">
        <v>13</v>
      </c>
      <c r="H22" s="8">
        <f>SUM(H18:H21)</f>
        <v>1</v>
      </c>
      <c r="I22" s="8">
        <f t="shared" ref="I22:M22" si="3">SUM(I18:I21)</f>
        <v>1</v>
      </c>
      <c r="J22" s="8">
        <f t="shared" si="3"/>
        <v>1</v>
      </c>
      <c r="K22" s="8">
        <f t="shared" si="3"/>
        <v>0</v>
      </c>
      <c r="L22" s="8">
        <f>SUM(L18:L21)</f>
        <v>0</v>
      </c>
      <c r="M22" s="8">
        <f t="shared" si="3"/>
        <v>1</v>
      </c>
      <c r="O22" s="10">
        <f>SUMPRODUCT(H9:M12,H18:M21)/H2</f>
        <v>8.5</v>
      </c>
      <c r="P22" t="s">
        <v>12</v>
      </c>
    </row>
    <row r="23" spans="4:17" ht="15.75" thickBot="1" x14ac:dyDescent="0.3">
      <c r="H23" s="9" t="s">
        <v>15</v>
      </c>
      <c r="I23" s="9" t="s">
        <v>15</v>
      </c>
      <c r="J23" s="9" t="s">
        <v>15</v>
      </c>
      <c r="K23" s="9" t="s">
        <v>15</v>
      </c>
      <c r="L23" s="9" t="s">
        <v>15</v>
      </c>
      <c r="M23" s="9" t="s">
        <v>15</v>
      </c>
    </row>
    <row r="24" spans="4:17" ht="18.75" x14ac:dyDescent="0.25">
      <c r="D24" s="22"/>
      <c r="E24" t="s">
        <v>21</v>
      </c>
      <c r="F24" t="s">
        <v>17</v>
      </c>
      <c r="G24" s="15" t="s">
        <v>20</v>
      </c>
      <c r="H24" s="21">
        <v>1</v>
      </c>
      <c r="I24" s="21">
        <v>1</v>
      </c>
      <c r="J24" s="21">
        <v>1</v>
      </c>
      <c r="K24" s="21">
        <v>1</v>
      </c>
      <c r="L24" s="21">
        <v>1</v>
      </c>
      <c r="M24" s="21">
        <v>1</v>
      </c>
    </row>
    <row r="25" spans="4:17" x14ac:dyDescent="0.25">
      <c r="P25" t="s">
        <v>24</v>
      </c>
    </row>
    <row r="26" spans="4:17" x14ac:dyDescent="0.25">
      <c r="E26" t="s">
        <v>21</v>
      </c>
      <c r="G26" s="20" t="s">
        <v>22</v>
      </c>
      <c r="H26" s="7">
        <f>INT($H$2/$H$3)</f>
        <v>1</v>
      </c>
      <c r="I26" s="7">
        <f t="shared" ref="I26:M26" si="4">INT($H$2/$H$3)</f>
        <v>1</v>
      </c>
      <c r="J26" s="7">
        <f t="shared" si="4"/>
        <v>1</v>
      </c>
      <c r="K26" s="7">
        <f t="shared" si="4"/>
        <v>1</v>
      </c>
      <c r="L26" s="7">
        <f t="shared" si="4"/>
        <v>1</v>
      </c>
      <c r="M26" s="7">
        <f t="shared" si="4"/>
        <v>1</v>
      </c>
      <c r="P26" t="s">
        <v>23</v>
      </c>
    </row>
    <row r="27" spans="4:17" x14ac:dyDescent="0.25">
      <c r="G27" t="s">
        <v>28</v>
      </c>
    </row>
    <row r="30" spans="4:17" x14ac:dyDescent="0.25">
      <c r="G30" t="s">
        <v>25</v>
      </c>
    </row>
    <row r="31" spans="4:17" x14ac:dyDescent="0.25">
      <c r="G31" s="22" t="str">
        <f>IF(O22=N13,"IGEN","NEM")</f>
        <v>IGEN</v>
      </c>
    </row>
  </sheetData>
  <mergeCells count="6">
    <mergeCell ref="S8:X8"/>
    <mergeCell ref="G7:G8"/>
    <mergeCell ref="H7:M7"/>
    <mergeCell ref="G16:G17"/>
    <mergeCell ref="H16:M16"/>
    <mergeCell ref="R8:R9"/>
  </mergeCells>
  <conditionalFormatting sqref="H18:M2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7"/>
  <sheetViews>
    <sheetView tabSelected="1" zoomScale="115" zoomScaleNormal="115" workbookViewId="0">
      <selection activeCell="Q2" sqref="Q2"/>
    </sheetView>
  </sheetViews>
  <sheetFormatPr defaultRowHeight="15" x14ac:dyDescent="0.25"/>
  <cols>
    <col min="1" max="1" width="11.28515625" customWidth="1"/>
    <col min="2" max="2" width="12.5703125" customWidth="1"/>
    <col min="6" max="6" width="13.7109375" customWidth="1"/>
    <col min="7" max="7" width="16.42578125" customWidth="1"/>
    <col min="9" max="9" width="15.7109375" customWidth="1"/>
  </cols>
  <sheetData>
    <row r="1" spans="1:11" ht="30" customHeight="1" x14ac:dyDescent="0.25">
      <c r="A1" s="58" t="s">
        <v>41</v>
      </c>
      <c r="B1" s="27" t="s">
        <v>46</v>
      </c>
      <c r="C1" t="b">
        <v>1</v>
      </c>
      <c r="E1">
        <v>16</v>
      </c>
      <c r="F1">
        <v>10</v>
      </c>
      <c r="G1">
        <v>11</v>
      </c>
      <c r="H1">
        <v>3</v>
      </c>
      <c r="I1">
        <v>14</v>
      </c>
      <c r="J1">
        <v>8</v>
      </c>
    </row>
    <row r="2" spans="1:11" ht="15.75" thickBot="1" x14ac:dyDescent="0.3">
      <c r="A2" s="46"/>
      <c r="C2" t="s">
        <v>33</v>
      </c>
      <c r="D2" t="s">
        <v>34</v>
      </c>
      <c r="E2" t="s">
        <v>35</v>
      </c>
      <c r="F2" t="s">
        <v>36</v>
      </c>
      <c r="G2" t="s">
        <v>47</v>
      </c>
      <c r="H2" t="s">
        <v>48</v>
      </c>
      <c r="I2" t="s">
        <v>37</v>
      </c>
      <c r="J2" t="s">
        <v>38</v>
      </c>
    </row>
    <row r="3" spans="1:11" ht="15.75" thickTop="1" x14ac:dyDescent="0.25">
      <c r="A3" s="46"/>
      <c r="B3" t="s">
        <v>30</v>
      </c>
      <c r="C3" s="37">
        <v>10</v>
      </c>
      <c r="D3" s="38">
        <v>4</v>
      </c>
      <c r="E3" s="38">
        <v>10</v>
      </c>
      <c r="F3" s="38">
        <v>4</v>
      </c>
      <c r="G3" s="38">
        <v>4</v>
      </c>
      <c r="H3" s="39">
        <v>6</v>
      </c>
      <c r="I3">
        <f>MAX($C$3:$H$3)</f>
        <v>10</v>
      </c>
      <c r="J3">
        <f>MIN($C$3:$H$3)</f>
        <v>4</v>
      </c>
    </row>
    <row r="4" spans="1:11" x14ac:dyDescent="0.25">
      <c r="A4" s="46"/>
      <c r="B4" t="s">
        <v>31</v>
      </c>
      <c r="C4" s="40">
        <v>1</v>
      </c>
      <c r="D4" s="59">
        <v>6</v>
      </c>
      <c r="E4" s="59">
        <v>4</v>
      </c>
      <c r="F4" s="59">
        <v>7</v>
      </c>
      <c r="G4" s="59">
        <v>6</v>
      </c>
      <c r="H4" s="41">
        <v>4</v>
      </c>
      <c r="I4">
        <f>MAX($C$4:$H$4)</f>
        <v>7</v>
      </c>
      <c r="J4">
        <f>MIN($C$4:$H$4)</f>
        <v>1</v>
      </c>
    </row>
    <row r="5" spans="1:11" x14ac:dyDescent="0.25">
      <c r="A5" s="46"/>
      <c r="B5" t="s">
        <v>32</v>
      </c>
      <c r="C5" s="40">
        <v>4</v>
      </c>
      <c r="D5" s="59">
        <v>10</v>
      </c>
      <c r="E5" s="59">
        <v>6</v>
      </c>
      <c r="F5" s="59">
        <v>2</v>
      </c>
      <c r="G5" s="59">
        <v>8</v>
      </c>
      <c r="H5" s="41">
        <v>8</v>
      </c>
      <c r="I5">
        <f>MAX($C$5:$H$5)</f>
        <v>10</v>
      </c>
      <c r="J5">
        <f>MIN($C$5:$H$5)</f>
        <v>2</v>
      </c>
    </row>
    <row r="6" spans="1:11" ht="15.75" thickBot="1" x14ac:dyDescent="0.3">
      <c r="A6" s="46"/>
      <c r="B6" t="s">
        <v>42</v>
      </c>
      <c r="C6" s="42">
        <v>9</v>
      </c>
      <c r="D6" s="43">
        <v>1</v>
      </c>
      <c r="E6" s="43">
        <v>1</v>
      </c>
      <c r="F6" s="43">
        <v>10</v>
      </c>
      <c r="G6" s="43">
        <v>3</v>
      </c>
      <c r="H6" s="44">
        <v>6</v>
      </c>
      <c r="I6">
        <f>MAX($C$6:$H$6)</f>
        <v>10</v>
      </c>
      <c r="J6">
        <f>MIN($C$6:$H$6)</f>
        <v>1</v>
      </c>
    </row>
    <row r="7" spans="1:11" ht="15.75" thickTop="1" x14ac:dyDescent="0.25">
      <c r="A7" s="46"/>
      <c r="I7">
        <f>AVERAGE($I$3:$I$6)</f>
        <v>9.25</v>
      </c>
      <c r="J7">
        <f>AVERAGE($J$3:$J$6)</f>
        <v>2</v>
      </c>
    </row>
    <row r="8" spans="1:11" x14ac:dyDescent="0.25">
      <c r="A8" s="46"/>
      <c r="I8" s="28" t="s">
        <v>39</v>
      </c>
      <c r="J8" s="28" t="s">
        <v>40</v>
      </c>
    </row>
    <row r="9" spans="1:11" x14ac:dyDescent="0.25">
      <c r="A9" s="46"/>
    </row>
    <row r="10" spans="1:11" ht="15.75" thickBot="1" x14ac:dyDescent="0.3">
      <c r="A10" s="46"/>
      <c r="C10" t="s">
        <v>33</v>
      </c>
      <c r="D10" t="s">
        <v>34</v>
      </c>
      <c r="E10" t="s">
        <v>35</v>
      </c>
      <c r="F10" t="s">
        <v>36</v>
      </c>
      <c r="G10" t="s">
        <v>47</v>
      </c>
      <c r="H10" t="s">
        <v>48</v>
      </c>
      <c r="I10" t="s">
        <v>45</v>
      </c>
    </row>
    <row r="11" spans="1:11" ht="15.75" thickTop="1" x14ac:dyDescent="0.25">
      <c r="A11" s="46"/>
      <c r="B11" t="s">
        <v>30</v>
      </c>
      <c r="C11" s="29">
        <v>1</v>
      </c>
      <c r="D11" s="30">
        <v>0</v>
      </c>
      <c r="E11" s="30">
        <v>0</v>
      </c>
      <c r="F11" s="30">
        <v>0</v>
      </c>
      <c r="G11" s="30">
        <v>0</v>
      </c>
      <c r="H11" s="31">
        <v>0</v>
      </c>
      <c r="I11">
        <f>SUM($C$11:$H$11 )</f>
        <v>1</v>
      </c>
      <c r="J11" t="s">
        <v>16</v>
      </c>
      <c r="K11">
        <v>1</v>
      </c>
    </row>
    <row r="12" spans="1:11" x14ac:dyDescent="0.25">
      <c r="A12" s="46"/>
      <c r="B12" t="s">
        <v>31</v>
      </c>
      <c r="C12" s="32">
        <v>0</v>
      </c>
      <c r="D12" s="60">
        <v>0</v>
      </c>
      <c r="E12" s="60">
        <v>0</v>
      </c>
      <c r="F12" s="60">
        <v>0</v>
      </c>
      <c r="G12" s="60">
        <v>1</v>
      </c>
      <c r="H12" s="33">
        <v>0</v>
      </c>
      <c r="I12">
        <f>SUM($C$12:$H$12 )</f>
        <v>1</v>
      </c>
      <c r="J12" t="s">
        <v>16</v>
      </c>
      <c r="K12">
        <v>1</v>
      </c>
    </row>
    <row r="13" spans="1:11" x14ac:dyDescent="0.25">
      <c r="A13" s="46"/>
      <c r="B13" t="s">
        <v>32</v>
      </c>
      <c r="C13" s="32">
        <v>0</v>
      </c>
      <c r="D13" s="60">
        <v>1</v>
      </c>
      <c r="E13" s="60">
        <v>0</v>
      </c>
      <c r="F13" s="60">
        <v>0</v>
      </c>
      <c r="G13" s="60">
        <v>0</v>
      </c>
      <c r="H13" s="33">
        <v>0</v>
      </c>
      <c r="I13">
        <f>SUM($C$13:$H$13 )</f>
        <v>1</v>
      </c>
      <c r="J13" t="s">
        <v>16</v>
      </c>
      <c r="K13">
        <v>1</v>
      </c>
    </row>
    <row r="14" spans="1:11" ht="15.75" thickBot="1" x14ac:dyDescent="0.3">
      <c r="A14" s="46"/>
      <c r="B14" t="s">
        <v>42</v>
      </c>
      <c r="C14" s="34">
        <v>0</v>
      </c>
      <c r="D14" s="35">
        <v>0</v>
      </c>
      <c r="E14" s="35">
        <v>0</v>
      </c>
      <c r="F14" s="35">
        <v>1</v>
      </c>
      <c r="G14" s="35">
        <v>0</v>
      </c>
      <c r="H14" s="36">
        <v>0</v>
      </c>
      <c r="I14">
        <f>SUM($C$14:$H$14 )</f>
        <v>1</v>
      </c>
      <c r="J14" t="s">
        <v>16</v>
      </c>
      <c r="K14">
        <v>1</v>
      </c>
    </row>
    <row r="15" spans="1:11" ht="15.75" thickTop="1" x14ac:dyDescent="0.25">
      <c r="A15" s="46"/>
      <c r="C15">
        <f>SUM($C$11:$C$14 )</f>
        <v>1</v>
      </c>
      <c r="D15">
        <f>SUM($D$11:$D$14 )</f>
        <v>1</v>
      </c>
      <c r="E15">
        <f>SUM($E$11:$E$14 )</f>
        <v>0</v>
      </c>
      <c r="F15">
        <f>SUM($F$11:$F$14 )</f>
        <v>1</v>
      </c>
      <c r="G15">
        <f>SUM($G$11:$G$14 )</f>
        <v>1</v>
      </c>
      <c r="H15">
        <f>SUM($H$11:$H$14 )</f>
        <v>0</v>
      </c>
    </row>
    <row r="16" spans="1:11" x14ac:dyDescent="0.25">
      <c r="C16" s="47" t="s">
        <v>49</v>
      </c>
      <c r="D16" s="47" t="s">
        <v>49</v>
      </c>
      <c r="E16" s="47" t="s">
        <v>49</v>
      </c>
      <c r="F16" s="47" t="s">
        <v>49</v>
      </c>
      <c r="G16" s="47" t="s">
        <v>49</v>
      </c>
      <c r="H16" s="47" t="s">
        <v>49</v>
      </c>
      <c r="J16" s="45">
        <f>( SUMPRODUCT($C$3:$H$6, $C$11:$H$14) ) /4</f>
        <v>9</v>
      </c>
    </row>
    <row r="17" spans="3:8" x14ac:dyDescent="0.25"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</sheetData>
  <dataValidations xWindow="523" yWindow="686" count="1">
    <dataValidation type="whole" allowBlank="1" showInputMessage="1" showErrorMessage="1" errorTitle="Integers" error="You must enter a number 1 five to 10" promptTitle="Integers" prompt="Enter an integer from 1 to 10" sqref="C3:H6" xr:uid="{45203DBC-8633-439C-B855-D7709A1F30A6}">
      <formula1>1</formula1>
      <formula2>10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autoPict="0" r:id="rId4">
            <anchor moveWithCells="1">
              <from>
                <xdr:col>0</xdr:col>
                <xdr:colOff>0</xdr:colOff>
                <xdr:row>7</xdr:row>
                <xdr:rowOff>152400</xdr:rowOff>
              </from>
              <to>
                <xdr:col>0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5" r:id="rId5" name="Button 3">
          <controlPr defaultSize="0" print="0" autoFill="0" autoPict="0" macro="[0]!SolverLegjobbHuzas">
            <anchor moveWithCells="1" sizeWithCells="1">
              <from>
                <xdr:col>10</xdr:col>
                <xdr:colOff>495300</xdr:colOff>
                <xdr:row>1</xdr:row>
                <xdr:rowOff>57150</xdr:rowOff>
              </from>
              <to>
                <xdr:col>12</xdr:col>
                <xdr:colOff>523875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6" name="Button 4">
          <controlPr defaultSize="0" print="0" autoFill="0" autoPict="0" macro="[0]!SolverLegrosszabbHuzas">
            <anchor moveWithCells="1" sizeWithCells="1">
              <from>
                <xdr:col>10</xdr:col>
                <xdr:colOff>485775</xdr:colOff>
                <xdr:row>0</xdr:row>
                <xdr:rowOff>95250</xdr:rowOff>
              </from>
              <to>
                <xdr:col>12</xdr:col>
                <xdr:colOff>523875</xdr:colOff>
                <xdr:row>0</xdr:row>
                <xdr:rowOff>352425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3"/>
  <sheetViews>
    <sheetView showGridLines="0" zoomScale="175" zoomScaleNormal="175" workbookViewId="0">
      <selection activeCell="C2" sqref="C2"/>
    </sheetView>
  </sheetViews>
  <sheetFormatPr defaultRowHeight="15" x14ac:dyDescent="0.25"/>
  <cols>
    <col min="1" max="1" width="9.140625" style="25"/>
    <col min="2" max="2" width="7" style="25" customWidth="1"/>
    <col min="3" max="3" width="77.7109375" style="25" customWidth="1"/>
    <col min="4" max="4" width="15.5703125" style="25" customWidth="1"/>
    <col min="5" max="16384" width="9.140625" style="25"/>
  </cols>
  <sheetData>
    <row r="1" spans="1:3" ht="36.75" customHeight="1" x14ac:dyDescent="0.25">
      <c r="A1" s="25" t="s">
        <v>26</v>
      </c>
      <c r="B1" s="25">
        <v>4</v>
      </c>
    </row>
    <row r="2" spans="1:3" ht="25.5" customHeight="1" x14ac:dyDescent="0.25">
      <c r="A2" s="25" t="s">
        <v>27</v>
      </c>
      <c r="B2" s="25">
        <v>6</v>
      </c>
      <c r="C2" s="26" t="s">
        <v>43</v>
      </c>
    </row>
    <row r="3" spans="1:3" ht="27.75" customHeight="1" x14ac:dyDescent="0.25">
      <c r="C3" s="26" t="s">
        <v>44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47625</xdr:colOff>
                    <xdr:row>0</xdr:row>
                    <xdr:rowOff>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feladat</vt:lpstr>
      <vt:lpstr>Elokeszito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diak</dc:creator>
  <cp:lastModifiedBy>Kiki</cp:lastModifiedBy>
  <dcterms:created xsi:type="dcterms:W3CDTF">2023-03-01T08:23:40Z</dcterms:created>
  <dcterms:modified xsi:type="dcterms:W3CDTF">2023-03-22T05:45:26Z</dcterms:modified>
</cp:coreProperties>
</file>